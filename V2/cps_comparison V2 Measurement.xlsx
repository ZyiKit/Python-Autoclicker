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udy\Desktop\Python Projects\Autoclicker\V2\"/>
    </mc:Choice>
  </mc:AlternateContent>
  <xr:revisionPtr revIDLastSave="0" documentId="11_F1DF88C9C91BEE465AC6A29D025FB7737CD08ABD" xr6:coauthVersionLast="47" xr6:coauthVersionMax="47" xr10:uidLastSave="{00000000-0000-0000-0000-000000000000}"/>
  <bookViews>
    <workbookView xWindow="1725" yWindow="450" windowWidth="13710" windowHeight="15450" tabRatio="500" xr2:uid="{00000000-000D-0000-FFFF-FFFF00000000}"/>
  </bookViews>
  <sheets>
    <sheet name="CPS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1" l="1"/>
  <c r="H10" i="1"/>
  <c r="G10" i="1"/>
  <c r="E10" i="1"/>
  <c r="I10" i="1" s="1"/>
  <c r="J9" i="1"/>
  <c r="G9" i="1"/>
  <c r="H9" i="1" s="1"/>
  <c r="E9" i="1"/>
  <c r="I9" i="1" s="1"/>
  <c r="J8" i="1"/>
  <c r="G8" i="1"/>
  <c r="H8" i="1" s="1"/>
  <c r="E8" i="1"/>
  <c r="I8" i="1" s="1"/>
  <c r="J7" i="1"/>
  <c r="H7" i="1"/>
  <c r="G7" i="1"/>
  <c r="E7" i="1"/>
  <c r="I7" i="1" s="1"/>
  <c r="J6" i="1"/>
  <c r="H6" i="1"/>
  <c r="G6" i="1"/>
  <c r="E6" i="1"/>
  <c r="I6" i="1" s="1"/>
</calcChain>
</file>

<file path=xl/sharedStrings.xml><?xml version="1.0" encoding="utf-8"?>
<sst xmlns="http://schemas.openxmlformats.org/spreadsheetml/2006/main" count="19" uniqueCount="19">
  <si>
    <t>CPS Autoclicker / Tester Accuracy Comparison</t>
  </si>
  <si>
    <t>Python tester: 3 runs averaged  |  Website tester: 1 run</t>
  </si>
  <si>
    <t>Python CPS Tester (3 runs)</t>
  </si>
  <si>
    <t>Website CPS Tester</t>
  </si>
  <si>
    <t>Accuracy Comparison</t>
  </si>
  <si>
    <t>Theoretical
CPS</t>
  </si>
  <si>
    <t>Run 1</t>
  </si>
  <si>
    <t>Run 2</t>
  </si>
  <si>
    <t>Run 3</t>
  </si>
  <si>
    <t>Avg</t>
  </si>
  <si>
    <t>Measured</t>
  </si>
  <si>
    <t>Error</t>
  </si>
  <si>
    <t>Error %</t>
  </si>
  <si>
    <t>Python
Error %</t>
  </si>
  <si>
    <t>Website
Error %</t>
  </si>
  <si>
    <t>Observations</t>
  </si>
  <si>
    <t>-  Python tester under-reports at higher CPS, peaking at -3.2% error around 100 CPS.</t>
  </si>
  <si>
    <t>-  Website tester stays within +0.4% of theoretical across the whole range.</t>
  </si>
  <si>
    <t>-  Gap likely comes from polling overhead in the tester's measurement loop, not the autoclicker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</si>
</sst>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\+0.00%;\-0.00%"/>
  </numFmts>
  <fonts count="9" x14ac:knownFonts="1">
    <font>
      <sz val="11"/>
      <color theme="1"/>
      <name val="Calibri"/>
      <family val="2"/>
      <charset val="1"/>
    </font>
    <font>
      <b/>
      <sz val="14"/>
      <color rgb="FF2F3B52"/>
      <name val="Arial"/>
      <charset val="1"/>
    </font>
    <font>
      <i/>
      <sz val="9"/>
      <color rgb="FF808080"/>
      <name val="Arial"/>
      <charset val="1"/>
    </font>
    <font>
      <b/>
      <sz val="10"/>
      <color rgb="FF2F3B5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2F3B52"/>
      <name val="Arial"/>
      <charset val="1"/>
    </font>
    <font>
      <i/>
      <sz val="10"/>
      <color rgb="FF59595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2F4F7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4" sqref="A4:J5"/>
    </sheetView>
  </sheetViews>
  <sheetFormatPr defaultColWidth="8.7109375" defaultRowHeight="15" x14ac:dyDescent="0.25"/>
  <cols>
    <col min="1" max="1" width="11" customWidth="1"/>
    <col min="2" max="4" width="8" customWidth="1"/>
    <col min="5" max="5" width="9" customWidth="1"/>
    <col min="6" max="6" width="11" customWidth="1"/>
    <col min="7" max="7" width="9" customWidth="1"/>
    <col min="8" max="8" width="10" customWidth="1"/>
    <col min="9" max="10" width="11" customWidth="1"/>
  </cols>
  <sheetData>
    <row r="1" spans="1:11" ht="18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8" customHeight="1" x14ac:dyDescent="0.25">
      <c r="B4" s="2" t="s">
        <v>2</v>
      </c>
      <c r="C4" s="2"/>
      <c r="D4" s="2"/>
      <c r="E4" s="5"/>
      <c r="F4" s="2" t="s">
        <v>3</v>
      </c>
      <c r="G4" s="2"/>
      <c r="H4" s="2"/>
      <c r="I4" s="2" t="s">
        <v>4</v>
      </c>
      <c r="J4" s="2"/>
    </row>
    <row r="5" spans="1:11" ht="30" customHeight="1" x14ac:dyDescent="0.25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</row>
    <row r="6" spans="1:11" x14ac:dyDescent="0.25">
      <c r="A6" s="7">
        <v>10</v>
      </c>
      <c r="B6" s="8">
        <v>10</v>
      </c>
      <c r="C6" s="8">
        <v>9.8000000000000007</v>
      </c>
      <c r="D6" s="8">
        <v>9.8000000000000007</v>
      </c>
      <c r="E6" s="7">
        <f>AVERAGE(B6:D6)</f>
        <v>9.8666666666666671</v>
      </c>
      <c r="F6" s="8">
        <v>10.199999999999999</v>
      </c>
      <c r="G6" s="9">
        <f>F6-A6</f>
        <v>0.19999999999999929</v>
      </c>
      <c r="H6" s="10">
        <f>G6/A6</f>
        <v>1.9999999999999928E-2</v>
      </c>
      <c r="I6" s="10">
        <f>(E6-A6)/A6</f>
        <v>-1.3333333333333286E-2</v>
      </c>
      <c r="J6" s="10">
        <f>(F6-A6)/A6</f>
        <v>1.9999999999999928E-2</v>
      </c>
    </row>
    <row r="7" spans="1:11" x14ac:dyDescent="0.25">
      <c r="A7" s="11">
        <v>20</v>
      </c>
      <c r="B7" s="12">
        <v>19.8</v>
      </c>
      <c r="C7" s="12">
        <v>19.600000000000001</v>
      </c>
      <c r="D7" s="12">
        <v>19.8</v>
      </c>
      <c r="E7" s="11">
        <f>AVERAGE(B7:D7)</f>
        <v>19.733333333333334</v>
      </c>
      <c r="F7" s="12">
        <v>20</v>
      </c>
      <c r="G7" s="13">
        <f>F7-A7</f>
        <v>0</v>
      </c>
      <c r="H7" s="14">
        <f>G7/A7</f>
        <v>0</v>
      </c>
      <c r="I7" s="14">
        <f>(E7-A7)/A7</f>
        <v>-1.3333333333333286E-2</v>
      </c>
      <c r="J7" s="14">
        <f>(F7-A7)/A7</f>
        <v>0</v>
      </c>
    </row>
    <row r="8" spans="1:11" x14ac:dyDescent="0.25">
      <c r="A8" s="7">
        <v>50</v>
      </c>
      <c r="B8" s="8">
        <v>48.6</v>
      </c>
      <c r="C8" s="8">
        <v>48.8</v>
      </c>
      <c r="D8" s="8">
        <v>48.6</v>
      </c>
      <c r="E8" s="7">
        <f>AVERAGE(B8:D8)</f>
        <v>48.666666666666664</v>
      </c>
      <c r="F8" s="8">
        <v>50.2</v>
      </c>
      <c r="G8" s="9">
        <f>F8-A8</f>
        <v>0.20000000000000284</v>
      </c>
      <c r="H8" s="10">
        <f>G8/A8</f>
        <v>4.0000000000000565E-3</v>
      </c>
      <c r="I8" s="10">
        <f>(E8-A8)/A8</f>
        <v>-2.6666666666666713E-2</v>
      </c>
      <c r="J8" s="10">
        <f>(F8-A8)/A8</f>
        <v>4.0000000000000565E-3</v>
      </c>
    </row>
    <row r="9" spans="1:11" x14ac:dyDescent="0.25">
      <c r="A9" s="11">
        <v>100</v>
      </c>
      <c r="B9" s="12">
        <v>96.4</v>
      </c>
      <c r="C9" s="12">
        <v>97</v>
      </c>
      <c r="D9" s="12">
        <v>97</v>
      </c>
      <c r="E9" s="11">
        <f>AVERAGE(B9:D9)</f>
        <v>96.8</v>
      </c>
      <c r="F9" s="12">
        <v>100</v>
      </c>
      <c r="G9" s="13">
        <f>F9-A9</f>
        <v>0</v>
      </c>
      <c r="H9" s="14">
        <f>G9/A9</f>
        <v>0</v>
      </c>
      <c r="I9" s="14">
        <f>(E9-A9)/A9</f>
        <v>-3.2000000000000028E-2</v>
      </c>
      <c r="J9" s="14">
        <f>(F9-A9)/A9</f>
        <v>0</v>
      </c>
    </row>
    <row r="10" spans="1:11" x14ac:dyDescent="0.25">
      <c r="A10" s="7">
        <v>150</v>
      </c>
      <c r="B10" s="8">
        <v>148.6</v>
      </c>
      <c r="C10" s="8">
        <v>148.4</v>
      </c>
      <c r="D10" s="8">
        <v>148.6</v>
      </c>
      <c r="E10" s="7">
        <f>AVERAGE(B10:D10)</f>
        <v>148.53333333333333</v>
      </c>
      <c r="F10" s="8">
        <v>150.19999999999999</v>
      </c>
      <c r="G10" s="9">
        <f>F10-A10</f>
        <v>0.19999999999998863</v>
      </c>
      <c r="H10" s="10">
        <f>G10/A10</f>
        <v>1.3333333333332576E-3</v>
      </c>
      <c r="I10" s="10">
        <f>(E10-A10)/A10</f>
        <v>-9.7777777777777897E-3</v>
      </c>
      <c r="J10" s="10">
        <f>(F10-A10)/A10</f>
        <v>1.3333333333332576E-3</v>
      </c>
    </row>
    <row r="12" spans="1:11" x14ac:dyDescent="0.25">
      <c r="A12" s="15" t="s">
        <v>15</v>
      </c>
    </row>
    <row r="13" spans="1:11" x14ac:dyDescent="0.25">
      <c r="A13" s="1" t="s">
        <v>16</v>
      </c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 t="s">
        <v>17</v>
      </c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A15" s="1" t="s">
        <v>18</v>
      </c>
      <c r="B15" s="1"/>
      <c r="C15" s="1"/>
      <c r="D15" s="1"/>
      <c r="E15" s="1"/>
      <c r="F15" s="1"/>
      <c r="G15" s="1"/>
      <c r="H15" s="1"/>
      <c r="I15" s="1"/>
      <c r="J15" s="1"/>
    </row>
  </sheetData>
  <mergeCells count="8">
    <mergeCell ref="A13:J13"/>
    <mergeCell ref="A14:J14"/>
    <mergeCell ref="A15:J15"/>
    <mergeCell ref="A1:K1"/>
    <mergeCell ref="A2:K2"/>
    <mergeCell ref="B4:D4"/>
    <mergeCell ref="F4:H4"/>
    <mergeCell ref="I4:J4"/>
  </mergeCells>
  <conditionalFormatting sqref="I6:J10">
    <cfRule type="cellIs" dxfId="2" priority="2" operator="lessThan">
      <formula>-0.02</formula>
    </cfRule>
    <cfRule type="cellIs" dxfId="1" priority="3" operator="between">
      <formula>-0.02</formula>
      <formula>0.02</formula>
    </cfRule>
    <cfRule type="cellIs" dxfId="0" priority="4" operator="greaterThan">
      <formula>0.02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WONG ZYI KIT</cp:lastModifiedBy>
  <cp:revision>0</cp:revision>
  <dcterms:created xsi:type="dcterms:W3CDTF">2026-06-22T10:39:15Z</dcterms:created>
  <dcterms:modified xsi:type="dcterms:W3CDTF">2026-06-23T13:10:29Z</dcterms:modified>
  <dc:language>en-US</dc:language>
</cp:coreProperties>
</file>